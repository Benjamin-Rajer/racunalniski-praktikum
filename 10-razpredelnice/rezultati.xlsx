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benja\RP\racunalniski-praktikum\10-razpredelnice\"/>
    </mc:Choice>
  </mc:AlternateContent>
  <xr:revisionPtr revIDLastSave="0" documentId="13_ncr:1_{9CCC0519-656B-44D1-924A-0B8B844DA752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Rezultati" sheetId="1" r:id="rId1"/>
  </sheets>
  <definedNames>
    <definedName name="_xlcn.WorksheetConnection_rezultati.xlsxRezultati1" hidden="1">Rezultati[]</definedName>
  </definedNames>
  <calcPr calcId="191029"/>
  <pivotCaches>
    <pivotCache cacheId="58" r:id="rId2"/>
  </pivotCaches>
  <extLst>
    <ext xmlns:x15="http://schemas.microsoft.com/office/spreadsheetml/2010/11/main" uri="{FCE2AD5D-F65C-4FA6-A056-5C36A1767C68}">
      <x15:dataModel>
        <x15:modelTables>
          <x15:modelTable id="Rezultati" name="Rezultati" connection="WorksheetConnection_rezultati.xlsx!Rezultati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I3" i="1"/>
  <c r="I4" i="1"/>
  <c r="I5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17F2DC-E2E1-4C94-BA37-68ABFC124D4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4AFC38B-19BB-4BB4-802C-CB4F98DD55C7}" name="WorksheetConnection_rezultati.xlsx!Rezultati" type="102" refreshedVersion="8" minRefreshableVersion="5">
    <extLst>
      <ext xmlns:x15="http://schemas.microsoft.com/office/spreadsheetml/2010/11/main" uri="{DE250136-89BD-433C-8126-D09CA5730AF9}">
        <x15:connection id="Rezultati" autoDelete="1">
          <x15:rangePr sourceName="_xlcn.WorksheetConnection_rezultati.xlsxRezultati1"/>
        </x15:connection>
      </ext>
    </extLst>
  </connection>
</connections>
</file>

<file path=xl/sharedStrings.xml><?xml version="1.0" encoding="utf-8"?>
<sst xmlns="http://schemas.openxmlformats.org/spreadsheetml/2006/main" count="104" uniqueCount="68">
  <si>
    <t>Priimek</t>
  </si>
  <si>
    <t>Ime</t>
  </si>
  <si>
    <t>Skupina</t>
  </si>
  <si>
    <t>Točke</t>
  </si>
  <si>
    <t>Opravil</t>
  </si>
  <si>
    <t>Udeležba</t>
  </si>
  <si>
    <t>Furlan</t>
  </si>
  <si>
    <t>Luka</t>
  </si>
  <si>
    <t>A</t>
  </si>
  <si>
    <t>Karakaš</t>
  </si>
  <si>
    <t>Alenka</t>
  </si>
  <si>
    <t>B</t>
  </si>
  <si>
    <t>Kočar</t>
  </si>
  <si>
    <t>Petra</t>
  </si>
  <si>
    <t>C</t>
  </si>
  <si>
    <t>Kofol</t>
  </si>
  <si>
    <t>Andraž</t>
  </si>
  <si>
    <t>Kumar</t>
  </si>
  <si>
    <t>Barbara</t>
  </si>
  <si>
    <t>Logar</t>
  </si>
  <si>
    <t>Mateja</t>
  </si>
  <si>
    <t>Pance</t>
  </si>
  <si>
    <t>Martin</t>
  </si>
  <si>
    <t>Pleterski</t>
  </si>
  <si>
    <t>Vesna</t>
  </si>
  <si>
    <t>Trček</t>
  </si>
  <si>
    <t>Valerija</t>
  </si>
  <si>
    <t>Virant</t>
  </si>
  <si>
    <t>Primož</t>
  </si>
  <si>
    <t>Vesel</t>
  </si>
  <si>
    <t>Polona</t>
  </si>
  <si>
    <t>Žveglič</t>
  </si>
  <si>
    <t>Katarina</t>
  </si>
  <si>
    <t>Cvelbar</t>
  </si>
  <si>
    <t>Janja</t>
  </si>
  <si>
    <t>Aleš</t>
  </si>
  <si>
    <t>Iskra</t>
  </si>
  <si>
    <t>Sabina</t>
  </si>
  <si>
    <t>Jerman</t>
  </si>
  <si>
    <t>Katja</t>
  </si>
  <si>
    <t>Karničar</t>
  </si>
  <si>
    <t>Jaka</t>
  </si>
  <si>
    <t>Korošec</t>
  </si>
  <si>
    <t>Kristina</t>
  </si>
  <si>
    <t>Kržišnik</t>
  </si>
  <si>
    <t>Grega</t>
  </si>
  <si>
    <t>Obrenović</t>
  </si>
  <si>
    <t>Tatjana</t>
  </si>
  <si>
    <t>Puncer</t>
  </si>
  <si>
    <t>Ribnikar</t>
  </si>
  <si>
    <t>Matjaž</t>
  </si>
  <si>
    <t>Štemberger</t>
  </si>
  <si>
    <t>Igor</t>
  </si>
  <si>
    <t>Šubašič</t>
  </si>
  <si>
    <t>Matej</t>
  </si>
  <si>
    <t>Tekavčič</t>
  </si>
  <si>
    <t>Aleksander</t>
  </si>
  <si>
    <t>Tratnik</t>
  </si>
  <si>
    <t>Mojca</t>
  </si>
  <si>
    <t>Smrekar</t>
  </si>
  <si>
    <t>Andreja</t>
  </si>
  <si>
    <t>Bezek</t>
  </si>
  <si>
    <t>Tomaž</t>
  </si>
  <si>
    <t>2021</t>
  </si>
  <si>
    <t>2022</t>
  </si>
  <si>
    <t>Povprečje</t>
  </si>
  <si>
    <t>Minimum</t>
  </si>
  <si>
    <t>Maksimum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</si>
</sst>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1">
    <dxf>
      <font>
        <color rgb="FFC00000"/>
      </font>
    </dxf>
    <dxf>
      <font>
        <color rgb="FFC00000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 baseline="0"/>
              <a:t>Velikost skupin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E4F-4624-8FA5-59EC9FDEC47F}"/>
              </c:ext>
            </c:extLst>
          </c:dPt>
          <c:dPt>
            <c:idx val="1"/>
            <c:bubble3D val="0"/>
            <c:explosion val="5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E4F-4624-8FA5-59EC9FDEC47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'Rezultati'!$I$3:$I$5</c:f>
              <c:numCache>
                <c:formatCode>General</c:formatCode>
                <c:ptCount val="3"/>
                <c:pt idx="0">
                  <c:v>9</c:v>
                </c:pt>
                <c:pt idx="1">
                  <c:v>12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F-4624-8FA5-59EC9FDEC47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4222043924059742"/>
          <c:y val="0.41439668999708379"/>
          <c:w val="7.3399097584712025E-2"/>
          <c:h val="0.284771434820647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Število točk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'Rezultati'!$J$2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'Rezultati'!$J$3:$J$5</c:f>
              <c:numCache>
                <c:formatCode>0.00</c:formatCode>
                <c:ptCount val="3"/>
                <c:pt idx="0">
                  <c:v>58.222222222222221</c:v>
                </c:pt>
                <c:pt idx="1">
                  <c:v>66.5</c:v>
                </c:pt>
                <c:pt idx="2">
                  <c:v>47.714285714285715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47-4748-90B9-101C4AA039D2}"/>
            </c:ext>
          </c:extLst>
        </c:ser>
        <c:ser>
          <c:idx val="1"/>
          <c:order val="1"/>
          <c:tx>
            <c:strRef>
              <c:f>'Rezultati'!$K$2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'Rezultati'!$H$3:$H$5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'Rezultati'!$K$3:$K$5</c:f>
              <c:numCache>
                <c:formatCode>General</c:formatCode>
                <c:ptCount val="3"/>
                <c:pt idx="0">
                  <c:v>66.84</c:v>
                </c:pt>
                <c:pt idx="1">
                  <c:v>52.35</c:v>
                </c:pt>
                <c:pt idx="2">
                  <c:v>49.66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47-4748-90B9-101C4AA039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2017071"/>
        <c:axId val="252001231"/>
      </c:barChart>
      <c:catAx>
        <c:axId val="252017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Skupina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52001231"/>
        <c:crosses val="autoZero"/>
        <c:auto val="1"/>
        <c:lblAlgn val="ctr"/>
        <c:lblOffset val="100"/>
        <c:noMultiLvlLbl val="0"/>
      </c:catAx>
      <c:valAx>
        <c:axId val="25200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Povprečje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sl-SI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l-SI"/>
          </a:p>
        </c:txPr>
        <c:crossAx val="252017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6351</xdr:colOff>
      <xdr:row>10</xdr:row>
      <xdr:rowOff>174625</xdr:rowOff>
    </xdr:from>
    <xdr:to>
      <xdr:col>11</xdr:col>
      <xdr:colOff>698501</xdr:colOff>
      <xdr:row>25</xdr:row>
      <xdr:rowOff>155575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126938-0C05-261A-2945-7BA892002E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638175</xdr:colOff>
      <xdr:row>26</xdr:row>
      <xdr:rowOff>60325</xdr:rowOff>
    </xdr:from>
    <xdr:to>
      <xdr:col>11</xdr:col>
      <xdr:colOff>739775</xdr:colOff>
      <xdr:row>41</xdr:row>
      <xdr:rowOff>41275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D5659E-4D0E-102E-2C57-991B28B3EA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Benjamin Rajer" refreshedDate="46019.715132407408" backgroundQuery="1" createdVersion="8" refreshedVersion="8" minRefreshableVersion="3" recordCount="0" supportSubquery="1" supportAdvancedDrill="1" xr:uid="{E95CE0BA-1A2B-484F-85E1-1FC04F4C8683}">
  <cacheSource type="external" connectionId="1"/>
  <cacheFields count="5">
    <cacheField name="[Rezultati].[Skupina].[Skupina]" caption="Skupina" numFmtId="0" hierarchy="2" level="1">
      <sharedItems count="3">
        <s v="A"/>
        <s v="B"/>
        <s v="C"/>
      </sharedItems>
    </cacheField>
    <cacheField name="[Measures].[Count of Skupina]" caption="Count of Skupina" numFmtId="0" hierarchy="9" level="32767"/>
    <cacheField name="[Measures].[Average of Točke]" caption="Average of Točke" numFmtId="0" hierarchy="8" level="32767"/>
    <cacheField name="[Measures].[Max of Točke]" caption="Max of Točke" numFmtId="0" hierarchy="10" level="32767"/>
    <cacheField name="[Measures].[Min of Točke]" caption="Min of Točke" numFmtId="0" hierarchy="11" level="32767"/>
  </cacheFields>
  <cacheHierarchies count="12">
    <cacheHierarchy uniqueName="[Rezultati].[Priimek]" caption="Priimek" attribute="1" defaultMemberUniqueName="[Rezultati].[Priimek].[All]" allUniqueName="[Rezultati].[Priimek].[All]" dimensionUniqueName="[Rezultati]" displayFolder="" count="0" memberValueDatatype="130" unbalanced="0"/>
    <cacheHierarchy uniqueName="[Rezultati].[Ime]" caption="Ime" attribute="1" defaultMemberUniqueName="[Rezultati].[Ime].[All]" allUniqueName="[Rezultati].[Ime].[All]" dimensionUniqueName="[Rezultati]" displayFolder="" count="0" memberValueDatatype="130" unbalanced="0"/>
    <cacheHierarchy uniqueName="[Rezultati].[Skupina]" caption="Skupina" attribute="1" defaultMemberUniqueName="[Rezultati].[Skupina].[All]" allUniqueName="[Rezultati].[Skupina].[All]" dimensionUniqueName="[Rezultati]" displayFolder="" count="2" memberValueDatatype="130" unbalanced="0">
      <fieldsUsage count="2">
        <fieldUsage x="-1"/>
        <fieldUsage x="0"/>
      </fieldsUsage>
    </cacheHierarchy>
    <cacheHierarchy uniqueName="[Rezultati].[Točke]" caption="Točke" attribute="1" defaultMemberUniqueName="[Rezultati].[Točke].[All]" allUniqueName="[Rezultati].[Točke].[All]" dimensionUniqueName="[Rezultati]" displayFolder="" count="0" memberValueDatatype="20" unbalanced="0"/>
    <cacheHierarchy uniqueName="[Rezultati].[Opravil]" caption="Opravil" attribute="1" defaultMemberUniqueName="[Rezultati].[Opravil].[All]" allUniqueName="[Rezultati].[Opravil].[All]" dimensionUniqueName="[Rezultati]" displayFolder="" count="0" memberValueDatatype="130" unbalanced="0"/>
    <cacheHierarchy uniqueName="[Measures].[__XL_Count Rezultati]" caption="__XL_Count Rezultati" measure="1" displayFolder="" measureGroup="Rezultati" count="0" hidden="1"/>
    <cacheHierarchy uniqueName="[Measures].[__No measures defined]" caption="__No measures defined" measure="1" displayFolder="" count="0" hidden="1"/>
    <cacheHierarchy uniqueName="[Measures].[Sum of Točke]" caption="Sum of Točke" measure="1" displayFolder="" measureGroup="Rezultat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Točke]" caption="Average of Točke" measure="1" displayFolder="" measureGroup="Rezultat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Skupina]" caption="Count of Skupina" measure="1" displayFolder="" measureGroup="Rezultat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Točke]" caption="Max of Točke" measure="1" displayFolder="" measureGroup="Rezultati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Točke]" caption="Min of Točke" measure="1" displayFolder="" measureGroup="Rezultati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Rezultati" uniqueName="[Rezultati]" caption="Rezultati"/>
  </dimensions>
  <measureGroups count="1">
    <measureGroup name="Rezultati" caption="Rezultati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FC3ACE-5D35-4686-B3F2-DCD04220A0E7}" name="PivotTable3" cacheId="5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kupina">
  <location ref="H7:L10" firstHeaderRow="0" firstDataRow="1" firstDataCol="1"/>
  <pivotFields count="5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Udeležba" fld="1" subtotal="count" baseField="0" baseItem="0"/>
    <dataField name="Povprečje" fld="2" subtotal="average" baseField="0" baseItem="0" numFmtId="2"/>
    <dataField name="Maksimum" fld="3" subtotal="max" baseField="0" baseItem="0"/>
    <dataField name="Minimum" fld="4" subtotal="min" baseField="0" baseItem="0"/>
  </dataFields>
  <formats count="1">
    <format dxfId="1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Hierarchies count="12"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Povprečje"/>
    <pivotHierarchy dragToData="1" caption="Udeležba"/>
    <pivotHierarchy dragToData="1" caption="Maksimum"/>
    <pivotHierarchy dragToData="1" caption="Minimum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zultati.xlsx!Rezultati">
        <x15:activeTabTopLevelEntity name="[Rezultat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C90745-5D9B-DB4B-840E-195183B97A51}" name="Rezultati" displayName="Rezultati" ref="B2:F30" totalsRowShown="0">
  <autoFilter ref="B2:F30" xr:uid="{07C90745-5D9B-DB4B-840E-195183B97A51}"/>
  <sortState xmlns:xlrd2="http://schemas.microsoft.com/office/spreadsheetml/2017/richdata2" ref="B3:F30">
    <sortCondition ref="B2:B30"/>
  </sortState>
  <tableColumns count="5">
    <tableColumn id="1" xr3:uid="{61A7CB75-EE0E-8148-A622-B1E11A2949AB}" name="Priimek"/>
    <tableColumn id="2" xr3:uid="{1516B636-A66A-2F4C-90DA-D664D3A1EBF9}" name="Ime"/>
    <tableColumn id="3" xr3:uid="{4228D6B7-8EB4-0245-B28A-8C1E7596D7AA}" name="Skupina"/>
    <tableColumn id="4" xr3:uid="{D7BCD06B-AAB1-E14C-9780-EB9AFE9CDDAF}" name="Točke"/>
    <tableColumn id="5" xr3:uid="{A572DA5B-37ED-FF49-A08A-839E55F45206}" name="Opravil">
      <calculatedColumnFormula>IF(Rezultati[[#This Row],[Točke]]&lt;50,"ne","da")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AD53C94-4DD0-B043-8002-9273766F5DC7}" name="Skupine" displayName="Skupine" ref="H2:K5" totalsRowShown="0">
  <autoFilter ref="H2:K5" xr:uid="{BAD53C94-4DD0-B043-8002-9273766F5DC7}"/>
  <tableColumns count="4">
    <tableColumn id="1" xr3:uid="{26F1C940-A3E1-AA4A-B91A-EA859D7A62AD}" name="Skupina"/>
    <tableColumn id="2" xr3:uid="{EA7356A2-0D38-5D42-A1AC-E30DC5D5C796}" name="Udeležba" dataDxfId="20">
      <calculatedColumnFormula>COUNTIF(Rezultati[Skupina],Skupine[[#This Row],[Skupina]])</calculatedColumnFormula>
    </tableColumn>
    <tableColumn id="3" xr3:uid="{49F9352C-9597-4E44-8122-AF1CE6CE856F}" name="2022" dataDxfId="19">
      <calculatedColumnFormula>AVERAGEIF(Rezultati[Skupina],Skupine[[#This Row],[Skupina]],Rezultati[Točke])</calculatedColumnFormula>
    </tableColumn>
    <tableColumn id="4" xr3:uid="{B0EFA30B-7FCE-C547-8EC0-FF89353D2666}" name="202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0"/>
  <sheetViews>
    <sheetView tabSelected="1" topLeftCell="A16" workbookViewId="0">
      <selection activeCell="A6" sqref="A6"/>
    </sheetView>
  </sheetViews>
  <sheetFormatPr defaultColWidth="8.81640625" defaultRowHeight="14.5" x14ac:dyDescent="0.35"/>
  <cols>
    <col min="1" max="1" width="4.453125" customWidth="1"/>
    <col min="2" max="2" width="10" bestFit="1" customWidth="1"/>
    <col min="3" max="3" width="9.36328125" bestFit="1" customWidth="1"/>
    <col min="4" max="4" width="9.6328125" bestFit="1" customWidth="1"/>
    <col min="5" max="5" width="8.1796875" bestFit="1" customWidth="1"/>
    <col min="6" max="6" width="9.1796875" bestFit="1" customWidth="1"/>
    <col min="7" max="7" width="9.1796875" customWidth="1"/>
    <col min="8" max="8" width="12.36328125" bestFit="1" customWidth="1"/>
    <col min="9" max="9" width="15.26953125" bestFit="1" customWidth="1"/>
    <col min="10" max="10" width="15.1796875" bestFit="1" customWidth="1"/>
    <col min="11" max="11" width="12" bestFit="1" customWidth="1"/>
    <col min="12" max="12" width="11.6328125" bestFit="1" customWidth="1"/>
  </cols>
  <sheetData>
    <row r="2" spans="2:12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H2" t="s">
        <v>2</v>
      </c>
      <c r="I2" t="s">
        <v>5</v>
      </c>
      <c r="J2" t="s">
        <v>64</v>
      </c>
      <c r="K2" t="s">
        <v>63</v>
      </c>
    </row>
    <row r="3" spans="2:12" x14ac:dyDescent="0.35">
      <c r="B3" t="s">
        <v>61</v>
      </c>
      <c r="C3" t="s">
        <v>62</v>
      </c>
      <c r="D3" t="s">
        <v>11</v>
      </c>
      <c r="E3">
        <v>38</v>
      </c>
      <c r="F3" t="str">
        <f>IF(Rezultati[[#This Row],[Točke]]&lt;50,"ne","da")</f>
        <v>ne</v>
      </c>
      <c r="H3" t="s">
        <v>8</v>
      </c>
      <c r="I3">
        <f>COUNTIF(Rezultati[Skupina],Skupine[[#This Row],[Skupina]])</f>
        <v>9</v>
      </c>
      <c r="J3" s="1">
        <f>AVERAGEIF(Rezultati[Skupina],Skupine[[#This Row],[Skupina]],Rezultati[Točke])</f>
        <v>58.222222222222221</v>
      </c>
      <c r="K3">
        <v>66.84</v>
      </c>
    </row>
    <row r="4" spans="2:12" x14ac:dyDescent="0.35">
      <c r="B4" t="s">
        <v>33</v>
      </c>
      <c r="C4" t="s">
        <v>34</v>
      </c>
      <c r="D4" t="s">
        <v>11</v>
      </c>
      <c r="E4">
        <v>39</v>
      </c>
      <c r="F4" t="str">
        <f>IF(Rezultati[[#This Row],[Točke]]&lt;50,"ne","da")</f>
        <v>ne</v>
      </c>
      <c r="H4" t="s">
        <v>11</v>
      </c>
      <c r="I4">
        <f>COUNTIF(Rezultati[Skupina],Skupine[[#This Row],[Skupina]])</f>
        <v>12</v>
      </c>
      <c r="J4" s="1">
        <f>AVERAGEIF(Rezultati[Skupina],Skupine[[#This Row],[Skupina]],Rezultati[Točke])</f>
        <v>66.5</v>
      </c>
      <c r="K4">
        <v>52.35</v>
      </c>
    </row>
    <row r="5" spans="2:12" x14ac:dyDescent="0.35">
      <c r="B5" t="s">
        <v>6</v>
      </c>
      <c r="C5" t="s">
        <v>35</v>
      </c>
      <c r="D5" t="s">
        <v>11</v>
      </c>
      <c r="E5">
        <v>36</v>
      </c>
      <c r="F5" t="str">
        <f>IF(Rezultati[[#This Row],[Točke]]&lt;50,"ne","da")</f>
        <v>ne</v>
      </c>
      <c r="H5" t="s">
        <v>14</v>
      </c>
      <c r="I5">
        <f>COUNTIF(Rezultati[Skupina],Skupine[[#This Row],[Skupina]])</f>
        <v>7</v>
      </c>
      <c r="J5" s="1">
        <f>AVERAGEIF(Rezultati[Skupina],Skupine[[#This Row],[Skupina]],Rezultati[Točke])</f>
        <v>47.714285714285715</v>
      </c>
      <c r="K5">
        <v>49.66</v>
      </c>
    </row>
    <row r="6" spans="2:12" x14ac:dyDescent="0.35">
      <c r="B6" t="s">
        <v>6</v>
      </c>
      <c r="C6" t="s">
        <v>7</v>
      </c>
      <c r="D6" t="s">
        <v>8</v>
      </c>
      <c r="E6">
        <v>93</v>
      </c>
      <c r="F6" t="str">
        <f>IF(Rezultati[[#This Row],[Točke]]&lt;50,"ne","da")</f>
        <v>da</v>
      </c>
    </row>
    <row r="7" spans="2:12" x14ac:dyDescent="0.35">
      <c r="B7" t="s">
        <v>36</v>
      </c>
      <c r="C7" t="s">
        <v>37</v>
      </c>
      <c r="D7" t="s">
        <v>8</v>
      </c>
      <c r="E7">
        <v>77</v>
      </c>
      <c r="F7" t="str">
        <f>IF(Rezultati[[#This Row],[Točke]]&lt;50,"ne","da")</f>
        <v>da</v>
      </c>
      <c r="H7" s="2" t="s">
        <v>2</v>
      </c>
      <c r="I7" t="s">
        <v>5</v>
      </c>
      <c r="J7" t="s">
        <v>65</v>
      </c>
      <c r="K7" t="s">
        <v>67</v>
      </c>
      <c r="L7" t="s">
        <v>66</v>
      </c>
    </row>
    <row r="8" spans="2:12" x14ac:dyDescent="0.35">
      <c r="B8" t="s">
        <v>38</v>
      </c>
      <c r="C8" t="s">
        <v>39</v>
      </c>
      <c r="D8" t="s">
        <v>11</v>
      </c>
      <c r="E8">
        <v>100</v>
      </c>
      <c r="F8" t="str">
        <f>IF(Rezultati[[#This Row],[Točke]]&lt;50,"ne","da")</f>
        <v>da</v>
      </c>
      <c r="H8" s="3" t="s">
        <v>8</v>
      </c>
      <c r="I8" s="4">
        <v>9</v>
      </c>
      <c r="J8" s="1">
        <v>58.222222222222221</v>
      </c>
      <c r="K8" s="4">
        <v>94</v>
      </c>
      <c r="L8" s="4">
        <v>34</v>
      </c>
    </row>
    <row r="9" spans="2:12" x14ac:dyDescent="0.35">
      <c r="B9" t="s">
        <v>9</v>
      </c>
      <c r="C9" t="s">
        <v>10</v>
      </c>
      <c r="D9" t="s">
        <v>8</v>
      </c>
      <c r="E9">
        <v>94</v>
      </c>
      <c r="F9" t="str">
        <f>IF(Rezultati[[#This Row],[Točke]]&lt;50,"ne","da")</f>
        <v>da</v>
      </c>
      <c r="H9" s="3" t="s">
        <v>11</v>
      </c>
      <c r="I9" s="4">
        <v>12</v>
      </c>
      <c r="J9" s="1">
        <v>66.5</v>
      </c>
      <c r="K9" s="4">
        <v>100</v>
      </c>
      <c r="L9" s="4">
        <v>36</v>
      </c>
    </row>
    <row r="10" spans="2:12" x14ac:dyDescent="0.35">
      <c r="B10" t="s">
        <v>40</v>
      </c>
      <c r="C10" t="s">
        <v>41</v>
      </c>
      <c r="D10" t="s">
        <v>14</v>
      </c>
      <c r="E10">
        <v>26</v>
      </c>
      <c r="F10" t="str">
        <f>IF(Rezultati[[#This Row],[Točke]]&lt;50,"ne","da")</f>
        <v>ne</v>
      </c>
      <c r="H10" s="3" t="s">
        <v>14</v>
      </c>
      <c r="I10" s="4">
        <v>7</v>
      </c>
      <c r="J10" s="1">
        <v>47.714285714285715</v>
      </c>
      <c r="K10" s="4">
        <v>76</v>
      </c>
      <c r="L10" s="4">
        <v>26</v>
      </c>
    </row>
    <row r="11" spans="2:12" x14ac:dyDescent="0.35">
      <c r="B11" t="s">
        <v>12</v>
      </c>
      <c r="C11" t="s">
        <v>13</v>
      </c>
      <c r="D11" t="s">
        <v>11</v>
      </c>
      <c r="E11">
        <v>44</v>
      </c>
      <c r="F11" t="str">
        <f>IF(Rezultati[[#This Row],[Točke]]&lt;50,"ne","da")</f>
        <v>ne</v>
      </c>
    </row>
    <row r="12" spans="2:12" x14ac:dyDescent="0.35">
      <c r="B12" t="s">
        <v>15</v>
      </c>
      <c r="C12" t="s">
        <v>16</v>
      </c>
      <c r="D12" t="s">
        <v>14</v>
      </c>
      <c r="E12">
        <v>34</v>
      </c>
      <c r="F12" t="str">
        <f>IF(Rezultati[[#This Row],[Točke]]&lt;50,"ne","da")</f>
        <v>ne</v>
      </c>
    </row>
    <row r="13" spans="2:12" x14ac:dyDescent="0.35">
      <c r="B13" t="s">
        <v>42</v>
      </c>
      <c r="C13" t="s">
        <v>43</v>
      </c>
      <c r="D13" t="s">
        <v>11</v>
      </c>
      <c r="E13">
        <v>86</v>
      </c>
      <c r="F13" t="str">
        <f>IF(Rezultati[[#This Row],[Točke]]&lt;50,"ne","da")</f>
        <v>da</v>
      </c>
    </row>
    <row r="14" spans="2:12" x14ac:dyDescent="0.35">
      <c r="B14" t="s">
        <v>44</v>
      </c>
      <c r="C14" t="s">
        <v>45</v>
      </c>
      <c r="D14" t="s">
        <v>11</v>
      </c>
      <c r="E14">
        <v>90</v>
      </c>
      <c r="F14" t="str">
        <f>IF(Rezultati[[#This Row],[Točke]]&lt;50,"ne","da")</f>
        <v>da</v>
      </c>
    </row>
    <row r="15" spans="2:12" x14ac:dyDescent="0.35">
      <c r="B15" t="s">
        <v>17</v>
      </c>
      <c r="C15" t="s">
        <v>18</v>
      </c>
      <c r="D15" t="s">
        <v>11</v>
      </c>
      <c r="E15">
        <v>67</v>
      </c>
      <c r="F15" t="str">
        <f>IF(Rezultati[[#This Row],[Točke]]&lt;50,"ne","da")</f>
        <v>da</v>
      </c>
    </row>
    <row r="16" spans="2:12" x14ac:dyDescent="0.35">
      <c r="B16" t="s">
        <v>19</v>
      </c>
      <c r="C16" t="s">
        <v>20</v>
      </c>
      <c r="D16" t="s">
        <v>8</v>
      </c>
      <c r="E16">
        <v>42</v>
      </c>
      <c r="F16" t="str">
        <f>IF(Rezultati[[#This Row],[Točke]]&lt;50,"ne","da")</f>
        <v>ne</v>
      </c>
    </row>
    <row r="17" spans="2:6" x14ac:dyDescent="0.35">
      <c r="B17" t="s">
        <v>46</v>
      </c>
      <c r="C17" t="s">
        <v>47</v>
      </c>
      <c r="D17" t="s">
        <v>14</v>
      </c>
      <c r="E17">
        <v>44</v>
      </c>
      <c r="F17" t="str">
        <f>IF(Rezultati[[#This Row],[Točke]]&lt;50,"ne","da")</f>
        <v>ne</v>
      </c>
    </row>
    <row r="18" spans="2:6" x14ac:dyDescent="0.35">
      <c r="B18" t="s">
        <v>21</v>
      </c>
      <c r="C18" t="s">
        <v>22</v>
      </c>
      <c r="D18" t="s">
        <v>11</v>
      </c>
      <c r="E18">
        <v>64</v>
      </c>
      <c r="F18" t="str">
        <f>IF(Rezultati[[#This Row],[Točke]]&lt;50,"ne","da")</f>
        <v>da</v>
      </c>
    </row>
    <row r="19" spans="2:6" x14ac:dyDescent="0.35">
      <c r="B19" t="s">
        <v>23</v>
      </c>
      <c r="C19" t="s">
        <v>24</v>
      </c>
      <c r="D19" t="s">
        <v>14</v>
      </c>
      <c r="E19">
        <v>30</v>
      </c>
      <c r="F19" t="str">
        <f>IF(Rezultati[[#This Row],[Točke]]&lt;50,"ne","da")</f>
        <v>ne</v>
      </c>
    </row>
    <row r="20" spans="2:6" x14ac:dyDescent="0.35">
      <c r="B20" t="s">
        <v>48</v>
      </c>
      <c r="C20" t="s">
        <v>28</v>
      </c>
      <c r="D20" t="s">
        <v>8</v>
      </c>
      <c r="E20">
        <v>57</v>
      </c>
      <c r="F20" t="str">
        <f>IF(Rezultati[[#This Row],[Točke]]&lt;50,"ne","da")</f>
        <v>da</v>
      </c>
    </row>
    <row r="21" spans="2:6" x14ac:dyDescent="0.35">
      <c r="B21" t="s">
        <v>49</v>
      </c>
      <c r="C21" t="s">
        <v>50</v>
      </c>
      <c r="D21" t="s">
        <v>8</v>
      </c>
      <c r="E21">
        <v>43</v>
      </c>
      <c r="F21" t="str">
        <f>IF(Rezultati[[#This Row],[Točke]]&lt;50,"ne","da")</f>
        <v>ne</v>
      </c>
    </row>
    <row r="22" spans="2:6" x14ac:dyDescent="0.35">
      <c r="B22" t="s">
        <v>59</v>
      </c>
      <c r="C22" t="s">
        <v>60</v>
      </c>
      <c r="D22" t="s">
        <v>8</v>
      </c>
      <c r="E22">
        <v>38</v>
      </c>
      <c r="F22" t="str">
        <f>IF(Rezultati[[#This Row],[Točke]]&lt;50,"ne","da")</f>
        <v>ne</v>
      </c>
    </row>
    <row r="23" spans="2:6" x14ac:dyDescent="0.35">
      <c r="B23" t="s">
        <v>51</v>
      </c>
      <c r="C23" t="s">
        <v>52</v>
      </c>
      <c r="D23" t="s">
        <v>11</v>
      </c>
      <c r="E23">
        <v>85</v>
      </c>
      <c r="F23" t="str">
        <f>IF(Rezultati[[#This Row],[Točke]]&lt;50,"ne","da")</f>
        <v>da</v>
      </c>
    </row>
    <row r="24" spans="2:6" x14ac:dyDescent="0.35">
      <c r="B24" t="s">
        <v>53</v>
      </c>
      <c r="C24" t="s">
        <v>54</v>
      </c>
      <c r="D24" t="s">
        <v>14</v>
      </c>
      <c r="E24">
        <v>76</v>
      </c>
      <c r="F24" t="str">
        <f>IF(Rezultati[[#This Row],[Točke]]&lt;50,"ne","da")</f>
        <v>da</v>
      </c>
    </row>
    <row r="25" spans="2:6" x14ac:dyDescent="0.35">
      <c r="B25" t="s">
        <v>55</v>
      </c>
      <c r="C25" t="s">
        <v>56</v>
      </c>
      <c r="D25" t="s">
        <v>8</v>
      </c>
      <c r="E25">
        <v>34</v>
      </c>
      <c r="F25" t="str">
        <f>IF(Rezultati[[#This Row],[Točke]]&lt;50,"ne","da")</f>
        <v>ne</v>
      </c>
    </row>
    <row r="26" spans="2:6" x14ac:dyDescent="0.35">
      <c r="B26" t="s">
        <v>57</v>
      </c>
      <c r="C26" t="s">
        <v>58</v>
      </c>
      <c r="D26" t="s">
        <v>11</v>
      </c>
      <c r="E26">
        <v>79</v>
      </c>
      <c r="F26" t="str">
        <f>IF(Rezultati[[#This Row],[Točke]]&lt;50,"ne","da")</f>
        <v>da</v>
      </c>
    </row>
    <row r="27" spans="2:6" x14ac:dyDescent="0.35">
      <c r="B27" t="s">
        <v>25</v>
      </c>
      <c r="C27" t="s">
        <v>26</v>
      </c>
      <c r="D27" t="s">
        <v>11</v>
      </c>
      <c r="E27">
        <v>70</v>
      </c>
      <c r="F27" t="str">
        <f>IF(Rezultati[[#This Row],[Točke]]&lt;50,"ne","da")</f>
        <v>da</v>
      </c>
    </row>
    <row r="28" spans="2:6" x14ac:dyDescent="0.35">
      <c r="B28" t="s">
        <v>29</v>
      </c>
      <c r="C28" t="s">
        <v>30</v>
      </c>
      <c r="D28" t="s">
        <v>14</v>
      </c>
      <c r="E28">
        <v>66</v>
      </c>
      <c r="F28" t="str">
        <f>IF(Rezultati[[#This Row],[Točke]]&lt;50,"ne","da")</f>
        <v>da</v>
      </c>
    </row>
    <row r="29" spans="2:6" x14ac:dyDescent="0.35">
      <c r="B29" t="s">
        <v>27</v>
      </c>
      <c r="C29" t="s">
        <v>28</v>
      </c>
      <c r="D29" t="s">
        <v>14</v>
      </c>
      <c r="E29">
        <v>58</v>
      </c>
      <c r="F29" t="str">
        <f>IF(Rezultati[[#This Row],[Točke]]&lt;50,"ne","da")</f>
        <v>da</v>
      </c>
    </row>
    <row r="30" spans="2:6" x14ac:dyDescent="0.35">
      <c r="B30" t="s">
        <v>31</v>
      </c>
      <c r="C30" t="s">
        <v>32</v>
      </c>
      <c r="D30" t="s">
        <v>8</v>
      </c>
      <c r="E30">
        <v>46</v>
      </c>
      <c r="F30" t="str">
        <f>IF(Rezultati[[#This Row],[Točke]]&lt;50,"ne","da")</f>
        <v>ne</v>
      </c>
    </row>
  </sheetData>
  <conditionalFormatting sqref="E3:E30">
    <cfRule type="cellIs" dxfId="5" priority="4" operator="lessThan">
      <formula>50</formula>
    </cfRule>
  </conditionalFormatting>
  <conditionalFormatting sqref="B3:C30">
    <cfRule type="expression" dxfId="0" priority="1">
      <formula>$E3&lt;50</formula>
    </cfRule>
  </conditionalFormatting>
  <pageMargins left="0.7" right="0.7" top="0.75" bottom="0.75" header="0.3" footer="0.3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Rezultati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Benjamin Rajer</cp:lastModifiedBy>
  <dcterms:created xsi:type="dcterms:W3CDTF">2007-11-10T02:36:44Z</dcterms:created>
  <dcterms:modified xsi:type="dcterms:W3CDTF">2025-12-28T16:46:18Z</dcterms:modified>
</cp:coreProperties>
</file>